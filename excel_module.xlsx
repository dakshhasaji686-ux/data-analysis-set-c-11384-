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_analysis_set_c_exam\"/>
    </mc:Choice>
  </mc:AlternateContent>
  <xr:revisionPtr revIDLastSave="0" documentId="8_{BCEB40B6-9E99-4921-87C8-B9E4213B9264}" xr6:coauthVersionLast="47" xr6:coauthVersionMax="47" xr10:uidLastSave="{00000000-0000-0000-0000-000000000000}"/>
  <bookViews>
    <workbookView xWindow="-108" yWindow="-108" windowWidth="23256" windowHeight="12456" activeTab="1" xr2:uid="{6B8E9E3C-6A3B-4E19-B1B8-00522382240A}"/>
  </bookViews>
  <sheets>
    <sheet name="lookup" sheetId="1" r:id="rId1"/>
    <sheet name="raw_data" sheetId="2" r:id="rId2"/>
    <sheet name="clean" sheetId="3" r:id="rId3"/>
    <sheet name="summery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4" l="1"/>
  <c r="B4" i="4"/>
  <c r="B2" i="4"/>
  <c r="M2" i="3"/>
  <c r="K2" i="3"/>
  <c r="I3" i="3"/>
  <c r="I4" i="3"/>
  <c r="I5" i="3"/>
  <c r="I6" i="3"/>
  <c r="I7" i="3"/>
  <c r="I8" i="3"/>
  <c r="I9" i="3"/>
  <c r="I10" i="3"/>
  <c r="I11" i="3"/>
  <c r="I12" i="3"/>
  <c r="I13" i="3"/>
  <c r="I2" i="3"/>
  <c r="H11" i="3"/>
  <c r="H12" i="3"/>
  <c r="H13" i="3"/>
  <c r="H10" i="3"/>
  <c r="H7" i="3"/>
  <c r="H8" i="3"/>
  <c r="H9" i="3"/>
  <c r="H6" i="3"/>
  <c r="H3" i="3"/>
  <c r="H4" i="3"/>
  <c r="H5" i="3"/>
  <c r="H2" i="3"/>
</calcChain>
</file>

<file path=xl/sharedStrings.xml><?xml version="1.0" encoding="utf-8"?>
<sst xmlns="http://schemas.openxmlformats.org/spreadsheetml/2006/main" count="123" uniqueCount="34">
  <si>
    <t>course_id</t>
  </si>
  <si>
    <t>course</t>
  </si>
  <si>
    <t>department</t>
  </si>
  <si>
    <t>C1</t>
  </si>
  <si>
    <t>Excel</t>
  </si>
  <si>
    <t>Business</t>
  </si>
  <si>
    <t>C2</t>
  </si>
  <si>
    <t>PowerBI</t>
  </si>
  <si>
    <t>C3</t>
  </si>
  <si>
    <t>SQL</t>
  </si>
  <si>
    <t>Technology</t>
  </si>
  <si>
    <t>C4</t>
  </si>
  <si>
    <t>Python</t>
  </si>
  <si>
    <t>assessment_id</t>
  </si>
  <si>
    <t>month</t>
  </si>
  <si>
    <t>batch</t>
  </si>
  <si>
    <t>score</t>
  </si>
  <si>
    <t>attendance_pct</t>
  </si>
  <si>
    <t>Jan</t>
  </si>
  <si>
    <t>Morning</t>
  </si>
  <si>
    <t>Evening</t>
  </si>
  <si>
    <t>Weekend</t>
  </si>
  <si>
    <t>Feb</t>
  </si>
  <si>
    <t>Mar</t>
  </si>
  <si>
    <t>departments</t>
  </si>
  <si>
    <t>pass_flag</t>
  </si>
  <si>
    <t>previoous_data count</t>
  </si>
  <si>
    <t>clean_data_count</t>
  </si>
  <si>
    <t>count_pass</t>
  </si>
  <si>
    <t>assessment_id2</t>
  </si>
  <si>
    <t>Row Labels</t>
  </si>
  <si>
    <t>Grand Total</t>
  </si>
  <si>
    <t>Column Labels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</si>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</sst>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[excel_module.xlsx]summery!PivotTable2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score by department</a:t>
            </a:r>
            <a:endParaRPr lang="en-IN"/>
          </a:p>
        </c:rich>
      </c:tx>
      <c:layout>
        <c:manualLayout>
          <c:xMode val="edge"/>
          <c:yMode val="edge"/>
          <c:x val="0.1934930008748906"/>
          <c:y val="3.1558185404339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summery!$G$2:$G$3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summery!$F$4:$F$6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summery!$G$4:$G$6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3FD-A207-A17BF25F816D}"/>
            </c:ext>
          </c:extLst>
        </c:ser>
        <c:ser>
          <c:idx val="1"/>
          <c:order val="1"/>
          <c:tx>
            <c:strRef>
              <c:f>summery!$H$2:$H$3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summery!$F$4:$F$6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summery!$H$4:$H$6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6-43FD-A207-A17BF25F816D}"/>
            </c:ext>
          </c:extLst>
        </c:ser>
        <c:ser>
          <c:idx val="2"/>
          <c:order val="2"/>
          <c:tx>
            <c:strRef>
              <c:f>summery!$I$2:$I$3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summery!$F$4:$F$6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summery!$I$4:$I$6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6-43FD-A207-A17BF25F81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9583184"/>
        <c:axId val="450197360"/>
      </c:barChart>
      <c:catAx>
        <c:axId val="173958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97360"/>
        <c:crosses val="autoZero"/>
        <c:auto val="1"/>
        <c:lblAlgn val="ctr"/>
        <c:lblOffset val="100"/>
        <c:noMultiLvlLbl val="0"/>
      </c:catAx>
      <c:valAx>
        <c:axId val="4501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583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6</xdr:row>
      <xdr:rowOff>163830</xdr:rowOff>
    </xdr:from>
    <xdr:to>
      <xdr:col>11</xdr:col>
      <xdr:colOff>281940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53BD2-1845-1CAB-BF4F-DEF3CDA35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fer" refreshedDate="46291.710376736111" createdVersion="8" refreshedVersion="8" minRefreshableVersion="3" recordCount="12" xr:uid="{165EF430-96E3-437A-AE99-BCFC9E046B31}">
  <cacheSource type="worksheet">
    <worksheetSource name="Table1"/>
  </cacheSource>
  <cacheFields count="9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assessment_id2" numFmtId="0">
      <sharedItems containsSemiMixedTypes="0" containsString="0" containsNumber="1" containsInteger="1" minValue="1" maxValue="12"/>
    </cacheField>
    <cacheField name="departments" numFmtId="0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n v="1"/>
    <x v="0"/>
    <n v="1"/>
  </r>
  <r>
    <n v="2"/>
    <x v="0"/>
    <s v="C2"/>
    <s v="Evening"/>
    <n v="45"/>
    <n v="70"/>
    <n v="2"/>
    <x v="0"/>
    <n v="0"/>
  </r>
  <r>
    <n v="3"/>
    <x v="0"/>
    <s v="C3"/>
    <s v="Morning"/>
    <n v="65"/>
    <n v="85"/>
    <n v="3"/>
    <x v="1"/>
    <n v="1"/>
  </r>
  <r>
    <n v="4"/>
    <x v="0"/>
    <s v="C4"/>
    <s v="Weekend"/>
    <n v="38"/>
    <n v="60"/>
    <n v="4"/>
    <x v="1"/>
    <n v="0"/>
  </r>
  <r>
    <n v="5"/>
    <x v="1"/>
    <s v="C1"/>
    <s v="Evening"/>
    <n v="80"/>
    <n v="95"/>
    <n v="5"/>
    <x v="0"/>
    <n v="1"/>
  </r>
  <r>
    <n v="6"/>
    <x v="1"/>
    <s v="C2"/>
    <s v="Weekend"/>
    <n v="55"/>
    <n v="80"/>
    <n v="6"/>
    <x v="0"/>
    <n v="1"/>
  </r>
  <r>
    <n v="7"/>
    <x v="1"/>
    <s v="C3"/>
    <s v="Morning"/>
    <n v="48"/>
    <n v="75"/>
    <n v="7"/>
    <x v="1"/>
    <n v="0"/>
  </r>
  <r>
    <n v="8"/>
    <x v="1"/>
    <s v="C4"/>
    <s v="Evening"/>
    <n v="68"/>
    <n v="88"/>
    <n v="8"/>
    <x v="1"/>
    <n v="1"/>
  </r>
  <r>
    <n v="9"/>
    <x v="2"/>
    <s v="C1"/>
    <s v="Weekend"/>
    <n v="90"/>
    <n v="98"/>
    <n v="9"/>
    <x v="0"/>
    <n v="1"/>
  </r>
  <r>
    <n v="10"/>
    <x v="2"/>
    <s v="C2"/>
    <s v="Morning"/>
    <n v="60"/>
    <n v="82"/>
    <n v="10"/>
    <x v="0"/>
    <n v="1"/>
  </r>
  <r>
    <n v="11"/>
    <x v="2"/>
    <s v="C3"/>
    <s v="Evening"/>
    <n v="75"/>
    <n v="92"/>
    <n v="11"/>
    <x v="1"/>
    <n v="1"/>
  </r>
  <r>
    <n v="12"/>
    <x v="2"/>
    <s v="C4"/>
    <s v="Weekend"/>
    <n v="42"/>
    <n v="65"/>
    <n v="12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61773-4384-47E3-9629-F91D6310028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:J6" firstHeaderRow="1" firstDataRow="2" firstDataCol="1"/>
  <pivotFields count="9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B8B98-4857-4366-A4AA-ECA76B248A17}" name="Table1" displayName="Table1" ref="A1:I13" totalsRowShown="0">
  <autoFilter ref="A1:I13" xr:uid="{818B8B98-4857-4366-A4AA-ECA76B248A17}"/>
  <tableColumns count="9">
    <tableColumn id="1" xr3:uid="{FDE5B7DF-319A-425B-9DDD-E8D741E59A6D}" name="assessment_id"/>
    <tableColumn id="2" xr3:uid="{10D12309-4036-4D3C-BF3A-44AC96582E75}" name="month"/>
    <tableColumn id="3" xr3:uid="{59FBE271-C07C-4E20-A5F8-7BB73AED3F56}" name="course_id"/>
    <tableColumn id="4" xr3:uid="{EE60898F-805E-4A3D-AD98-8B744C8E7FD9}" name="batch"/>
    <tableColumn id="5" xr3:uid="{AA077977-B719-4DB0-8A83-186FF9DF14F3}" name="score"/>
    <tableColumn id="6" xr3:uid="{3FCAA7E7-E933-49EE-B421-587C466CCB73}" name="attendance_pct"/>
    <tableColumn id="7" xr3:uid="{F2A1C5A7-A739-4553-B12A-F8BF58D1948E}" name="assessment_id2"/>
    <tableColumn id="8" xr3:uid="{1B8B6F20-822B-4364-8443-55F66971E3AE}" name="departments"/>
    <tableColumn id="9" xr3:uid="{CEB931E3-4B81-466C-96BE-82B86A15AFFA}" name="pass_flag">
      <calculatedColumnFormula>IF(E2&gt;=50,1,0)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5701-16E0-4130-B9F7-7727EB3DD180}">
  <dimension ref="A1:C5"/>
  <sheetViews>
    <sheetView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49CB-9DE3-43AE-A9BD-DAD5031686FC}">
  <dimension ref="A1:G14"/>
  <sheetViews>
    <sheetView tabSelected="1" workbookViewId="0">
      <selection activeCell="G27" sqref="G27"/>
    </sheetView>
  </sheetViews>
  <sheetFormatPr defaultRowHeight="14.4" x14ac:dyDescent="0.3"/>
  <sheetData>
    <row r="1" spans="1:7" x14ac:dyDescent="0.3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13</v>
      </c>
    </row>
    <row r="2" spans="1:7" x14ac:dyDescent="0.3">
      <c r="A2">
        <v>1</v>
      </c>
      <c r="B2" t="s">
        <v>18</v>
      </c>
      <c r="C2" t="s">
        <v>3</v>
      </c>
      <c r="D2" t="s">
        <v>19</v>
      </c>
      <c r="E2">
        <v>72</v>
      </c>
      <c r="F2">
        <v>90</v>
      </c>
      <c r="G2">
        <v>1</v>
      </c>
    </row>
    <row r="3" spans="1:7" x14ac:dyDescent="0.3">
      <c r="A3">
        <v>2</v>
      </c>
      <c r="B3" t="s">
        <v>18</v>
      </c>
      <c r="C3" t="s">
        <v>6</v>
      </c>
      <c r="D3" t="s">
        <v>20</v>
      </c>
      <c r="E3">
        <v>45</v>
      </c>
      <c r="F3">
        <v>70</v>
      </c>
      <c r="G3">
        <v>2</v>
      </c>
    </row>
    <row r="4" spans="1:7" x14ac:dyDescent="0.3">
      <c r="A4">
        <v>3</v>
      </c>
      <c r="B4" t="s">
        <v>18</v>
      </c>
      <c r="C4" t="s">
        <v>8</v>
      </c>
      <c r="D4" t="s">
        <v>19</v>
      </c>
      <c r="E4">
        <v>65</v>
      </c>
      <c r="F4">
        <v>85</v>
      </c>
      <c r="G4">
        <v>3</v>
      </c>
    </row>
    <row r="5" spans="1:7" x14ac:dyDescent="0.3">
      <c r="A5">
        <v>4</v>
      </c>
      <c r="B5" t="s">
        <v>18</v>
      </c>
      <c r="C5" t="s">
        <v>11</v>
      </c>
      <c r="D5" t="s">
        <v>21</v>
      </c>
      <c r="E5">
        <v>38</v>
      </c>
      <c r="F5">
        <v>60</v>
      </c>
      <c r="G5">
        <v>4</v>
      </c>
    </row>
    <row r="6" spans="1:7" x14ac:dyDescent="0.3">
      <c r="A6">
        <v>5</v>
      </c>
      <c r="B6" t="s">
        <v>22</v>
      </c>
      <c r="C6" t="s">
        <v>3</v>
      </c>
      <c r="D6" t="s">
        <v>20</v>
      </c>
      <c r="E6">
        <v>80</v>
      </c>
      <c r="F6">
        <v>95</v>
      </c>
      <c r="G6">
        <v>5</v>
      </c>
    </row>
    <row r="7" spans="1:7" x14ac:dyDescent="0.3">
      <c r="A7">
        <v>6</v>
      </c>
      <c r="B7" t="s">
        <v>22</v>
      </c>
      <c r="C7" t="s">
        <v>6</v>
      </c>
      <c r="D7" t="s">
        <v>21</v>
      </c>
      <c r="E7">
        <v>55</v>
      </c>
      <c r="F7">
        <v>80</v>
      </c>
      <c r="G7">
        <v>6</v>
      </c>
    </row>
    <row r="8" spans="1:7" x14ac:dyDescent="0.3">
      <c r="A8">
        <v>7</v>
      </c>
      <c r="B8" t="s">
        <v>22</v>
      </c>
      <c r="C8" t="s">
        <v>8</v>
      </c>
      <c r="D8" t="s">
        <v>19</v>
      </c>
      <c r="E8">
        <v>48</v>
      </c>
      <c r="F8">
        <v>75</v>
      </c>
      <c r="G8">
        <v>7</v>
      </c>
    </row>
    <row r="9" spans="1:7" x14ac:dyDescent="0.3">
      <c r="A9">
        <v>8</v>
      </c>
      <c r="B9" t="s">
        <v>22</v>
      </c>
      <c r="C9" t="s">
        <v>11</v>
      </c>
      <c r="D9" t="s">
        <v>20</v>
      </c>
      <c r="E9">
        <v>68</v>
      </c>
      <c r="F9">
        <v>88</v>
      </c>
      <c r="G9">
        <v>8</v>
      </c>
    </row>
    <row r="10" spans="1:7" x14ac:dyDescent="0.3">
      <c r="A10">
        <v>9</v>
      </c>
      <c r="B10" t="s">
        <v>23</v>
      </c>
      <c r="C10" t="s">
        <v>3</v>
      </c>
      <c r="D10" t="s">
        <v>21</v>
      </c>
      <c r="E10">
        <v>90</v>
      </c>
      <c r="F10">
        <v>98</v>
      </c>
      <c r="G10">
        <v>9</v>
      </c>
    </row>
    <row r="11" spans="1:7" x14ac:dyDescent="0.3">
      <c r="A11">
        <v>10</v>
      </c>
      <c r="B11" t="s">
        <v>23</v>
      </c>
      <c r="C11" t="s">
        <v>6</v>
      </c>
      <c r="D11" t="s">
        <v>19</v>
      </c>
      <c r="E11">
        <v>60</v>
      </c>
      <c r="F11">
        <v>82</v>
      </c>
      <c r="G11">
        <v>10</v>
      </c>
    </row>
    <row r="12" spans="1:7" x14ac:dyDescent="0.3">
      <c r="A12">
        <v>11</v>
      </c>
      <c r="B12" t="s">
        <v>23</v>
      </c>
      <c r="C12" t="s">
        <v>8</v>
      </c>
      <c r="D12" t="s">
        <v>20</v>
      </c>
      <c r="E12">
        <v>75</v>
      </c>
      <c r="F12">
        <v>92</v>
      </c>
      <c r="G12">
        <v>11</v>
      </c>
    </row>
    <row r="13" spans="1:7" x14ac:dyDescent="0.3">
      <c r="A13">
        <v>12</v>
      </c>
      <c r="B13" t="s">
        <v>23</v>
      </c>
      <c r="C13" t="s">
        <v>11</v>
      </c>
      <c r="D13" t="s">
        <v>21</v>
      </c>
      <c r="E13">
        <v>42</v>
      </c>
      <c r="F13">
        <v>65</v>
      </c>
      <c r="G13">
        <v>12</v>
      </c>
    </row>
    <row r="14" spans="1:7" x14ac:dyDescent="0.3">
      <c r="A14">
        <v>12</v>
      </c>
      <c r="B14" t="s">
        <v>23</v>
      </c>
      <c r="C14" t="s">
        <v>11</v>
      </c>
      <c r="D14" t="s">
        <v>21</v>
      </c>
      <c r="E14">
        <v>42</v>
      </c>
      <c r="F14">
        <v>65</v>
      </c>
      <c r="G1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5D67-1C95-4175-A1E2-7D7907075425}">
  <dimension ref="A1:M13"/>
  <sheetViews>
    <sheetView workbookViewId="0">
      <selection activeCell="E20" sqref="E20"/>
    </sheetView>
  </sheetViews>
  <sheetFormatPr defaultRowHeight="14.4" x14ac:dyDescent="0.3"/>
  <cols>
    <col min="1" max="1" width="15.21875" customWidth="1"/>
    <col min="2" max="2" width="8.21875" customWidth="1"/>
    <col min="3" max="3" width="10.88671875" customWidth="1"/>
    <col min="4" max="4" width="8.5546875" bestFit="1" customWidth="1"/>
    <col min="5" max="5" width="7.44140625" customWidth="1"/>
    <col min="6" max="6" width="15.88671875" customWidth="1"/>
    <col min="7" max="7" width="16.21875" customWidth="1"/>
    <col min="8" max="8" width="13.6640625" customWidth="1"/>
    <col min="9" max="9" width="10.5546875" customWidth="1"/>
  </cols>
  <sheetData>
    <row r="1" spans="1:13" x14ac:dyDescent="0.3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29</v>
      </c>
      <c r="H1" t="s">
        <v>24</v>
      </c>
      <c r="I1" t="s">
        <v>25</v>
      </c>
      <c r="K1" t="s">
        <v>26</v>
      </c>
      <c r="M1" t="s">
        <v>27</v>
      </c>
    </row>
    <row r="2" spans="1:13" x14ac:dyDescent="0.3">
      <c r="A2">
        <v>1</v>
      </c>
      <c r="B2" t="s">
        <v>18</v>
      </c>
      <c r="C2" t="s">
        <v>3</v>
      </c>
      <c r="D2" t="s">
        <v>19</v>
      </c>
      <c r="E2">
        <v>72</v>
      </c>
      <c r="F2">
        <v>90</v>
      </c>
      <c r="G2">
        <v>1</v>
      </c>
      <c r="H2" t="str">
        <f>_xlfn.XLOOKUP(clean!C2,lookup!A2:A5,lookup!C2:C5)</f>
        <v>Business</v>
      </c>
      <c r="I2">
        <f>IF(E2&gt;=50,1,0)</f>
        <v>1</v>
      </c>
      <c r="K2">
        <f>COUNTA(raw_data!A2:A14)</f>
        <v>13</v>
      </c>
      <c r="M2">
        <f>COUNTA(A2:A13)</f>
        <v>12</v>
      </c>
    </row>
    <row r="3" spans="1:13" x14ac:dyDescent="0.3">
      <c r="A3">
        <v>2</v>
      </c>
      <c r="B3" t="s">
        <v>18</v>
      </c>
      <c r="C3" t="s">
        <v>6</v>
      </c>
      <c r="D3" t="s">
        <v>20</v>
      </c>
      <c r="E3">
        <v>45</v>
      </c>
      <c r="F3">
        <v>70</v>
      </c>
      <c r="G3">
        <v>2</v>
      </c>
      <c r="H3" t="str">
        <f>_xlfn.XLOOKUP(clean!C3,lookup!A3:A6,lookup!C3:C6)</f>
        <v>Business</v>
      </c>
      <c r="I3">
        <f t="shared" ref="I3:I13" si="0">IF(E3&gt;=50,1,0)</f>
        <v>0</v>
      </c>
    </row>
    <row r="4" spans="1:13" x14ac:dyDescent="0.3">
      <c r="A4">
        <v>3</v>
      </c>
      <c r="B4" t="s">
        <v>18</v>
      </c>
      <c r="C4" t="s">
        <v>8</v>
      </c>
      <c r="D4" t="s">
        <v>19</v>
      </c>
      <c r="E4">
        <v>65</v>
      </c>
      <c r="F4">
        <v>85</v>
      </c>
      <c r="G4">
        <v>3</v>
      </c>
      <c r="H4" t="str">
        <f>_xlfn.XLOOKUP(clean!C4,lookup!A4:A7,lookup!C4:C7)</f>
        <v>Technology</v>
      </c>
      <c r="I4">
        <f t="shared" si="0"/>
        <v>1</v>
      </c>
    </row>
    <row r="5" spans="1:13" x14ac:dyDescent="0.3">
      <c r="A5">
        <v>4</v>
      </c>
      <c r="B5" t="s">
        <v>18</v>
      </c>
      <c r="C5" t="s">
        <v>11</v>
      </c>
      <c r="D5" t="s">
        <v>21</v>
      </c>
      <c r="E5">
        <v>38</v>
      </c>
      <c r="F5">
        <v>60</v>
      </c>
      <c r="G5">
        <v>4</v>
      </c>
      <c r="H5" t="str">
        <f>_xlfn.XLOOKUP(clean!C5,lookup!A5:A8,lookup!C5:C8)</f>
        <v>Technology</v>
      </c>
      <c r="I5">
        <f t="shared" si="0"/>
        <v>0</v>
      </c>
    </row>
    <row r="6" spans="1:13" x14ac:dyDescent="0.3">
      <c r="A6">
        <v>5</v>
      </c>
      <c r="B6" t="s">
        <v>22</v>
      </c>
      <c r="C6" t="s">
        <v>3</v>
      </c>
      <c r="D6" t="s">
        <v>20</v>
      </c>
      <c r="E6">
        <v>80</v>
      </c>
      <c r="F6">
        <v>95</v>
      </c>
      <c r="G6">
        <v>5</v>
      </c>
      <c r="H6" t="str">
        <f>_xlfn.XLOOKUP(clean!C6,lookup!A2:A5,lookup!C2:C5)</f>
        <v>Business</v>
      </c>
      <c r="I6">
        <f t="shared" si="0"/>
        <v>1</v>
      </c>
    </row>
    <row r="7" spans="1:13" x14ac:dyDescent="0.3">
      <c r="A7">
        <v>6</v>
      </c>
      <c r="B7" t="s">
        <v>22</v>
      </c>
      <c r="C7" t="s">
        <v>6</v>
      </c>
      <c r="D7" t="s">
        <v>21</v>
      </c>
      <c r="E7">
        <v>55</v>
      </c>
      <c r="F7">
        <v>80</v>
      </c>
      <c r="G7">
        <v>6</v>
      </c>
      <c r="H7" t="str">
        <f>_xlfn.XLOOKUP(clean!C7,lookup!A3:A6,lookup!C3:C6)</f>
        <v>Business</v>
      </c>
      <c r="I7">
        <f t="shared" si="0"/>
        <v>1</v>
      </c>
    </row>
    <row r="8" spans="1:13" x14ac:dyDescent="0.3">
      <c r="A8">
        <v>7</v>
      </c>
      <c r="B8" t="s">
        <v>22</v>
      </c>
      <c r="C8" t="s">
        <v>8</v>
      </c>
      <c r="D8" t="s">
        <v>19</v>
      </c>
      <c r="E8">
        <v>48</v>
      </c>
      <c r="F8">
        <v>75</v>
      </c>
      <c r="G8">
        <v>7</v>
      </c>
      <c r="H8" t="str">
        <f>_xlfn.XLOOKUP(clean!C8,lookup!A4:A7,lookup!C4:C7)</f>
        <v>Technology</v>
      </c>
      <c r="I8">
        <f t="shared" si="0"/>
        <v>0</v>
      </c>
    </row>
    <row r="9" spans="1:13" x14ac:dyDescent="0.3">
      <c r="A9">
        <v>8</v>
      </c>
      <c r="B9" t="s">
        <v>22</v>
      </c>
      <c r="C9" t="s">
        <v>11</v>
      </c>
      <c r="D9" t="s">
        <v>20</v>
      </c>
      <c r="E9">
        <v>68</v>
      </c>
      <c r="F9">
        <v>88</v>
      </c>
      <c r="G9">
        <v>8</v>
      </c>
      <c r="H9" t="str">
        <f>_xlfn.XLOOKUP(clean!C9,lookup!A5:A8,lookup!C5:C8)</f>
        <v>Technology</v>
      </c>
      <c r="I9">
        <f t="shared" si="0"/>
        <v>1</v>
      </c>
    </row>
    <row r="10" spans="1:13" x14ac:dyDescent="0.3">
      <c r="A10">
        <v>9</v>
      </c>
      <c r="B10" t="s">
        <v>23</v>
      </c>
      <c r="C10" t="s">
        <v>3</v>
      </c>
      <c r="D10" t="s">
        <v>21</v>
      </c>
      <c r="E10">
        <v>90</v>
      </c>
      <c r="F10">
        <v>98</v>
      </c>
      <c r="G10">
        <v>9</v>
      </c>
      <c r="H10" t="str">
        <f>_xlfn.XLOOKUP(clean!C10,lookup!A2:A5,lookup!C2:C5)</f>
        <v>Business</v>
      </c>
      <c r="I10">
        <f t="shared" si="0"/>
        <v>1</v>
      </c>
    </row>
    <row r="11" spans="1:13" x14ac:dyDescent="0.3">
      <c r="A11">
        <v>10</v>
      </c>
      <c r="B11" t="s">
        <v>23</v>
      </c>
      <c r="C11" t="s">
        <v>6</v>
      </c>
      <c r="D11" t="s">
        <v>19</v>
      </c>
      <c r="E11">
        <v>60</v>
      </c>
      <c r="F11">
        <v>82</v>
      </c>
      <c r="G11">
        <v>10</v>
      </c>
      <c r="H11" t="str">
        <f>_xlfn.XLOOKUP(clean!C11,lookup!A3:A6,lookup!C3:C6)</f>
        <v>Business</v>
      </c>
      <c r="I11">
        <f t="shared" si="0"/>
        <v>1</v>
      </c>
    </row>
    <row r="12" spans="1:13" x14ac:dyDescent="0.3">
      <c r="A12">
        <v>11</v>
      </c>
      <c r="B12" t="s">
        <v>23</v>
      </c>
      <c r="C12" t="s">
        <v>8</v>
      </c>
      <c r="D12" t="s">
        <v>20</v>
      </c>
      <c r="E12">
        <v>75</v>
      </c>
      <c r="F12">
        <v>92</v>
      </c>
      <c r="G12">
        <v>11</v>
      </c>
      <c r="H12" t="str">
        <f>_xlfn.XLOOKUP(clean!C12,lookup!A4:A7,lookup!C4:C7)</f>
        <v>Technology</v>
      </c>
      <c r="I12">
        <f t="shared" si="0"/>
        <v>1</v>
      </c>
    </row>
    <row r="13" spans="1:13" x14ac:dyDescent="0.3">
      <c r="A13">
        <v>12</v>
      </c>
      <c r="B13" t="s">
        <v>23</v>
      </c>
      <c r="C13" t="s">
        <v>11</v>
      </c>
      <c r="D13" t="s">
        <v>21</v>
      </c>
      <c r="E13">
        <v>42</v>
      </c>
      <c r="F13">
        <v>65</v>
      </c>
      <c r="G13">
        <v>12</v>
      </c>
      <c r="H13" t="str">
        <f>_xlfn.XLOOKUP(clean!C13,lookup!A5:A8,lookup!C5:C8)</f>
        <v>Technology</v>
      </c>
      <c r="I1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1DD2-1413-425C-8ACD-9D5A3868B00B}">
  <dimension ref="A1:J6"/>
  <sheetViews>
    <sheetView workbookViewId="0">
      <selection activeCell="N13" sqref="N13"/>
    </sheetView>
  </sheetViews>
  <sheetFormatPr defaultRowHeight="14.4" x14ac:dyDescent="0.3"/>
  <sheetData>
    <row r="1" spans="1:10" x14ac:dyDescent="0.3">
      <c r="A1" t="s">
        <v>15</v>
      </c>
      <c r="B1" t="s">
        <v>28</v>
      </c>
    </row>
    <row r="2" spans="1:10" x14ac:dyDescent="0.3">
      <c r="A2" t="s">
        <v>19</v>
      </c>
      <c r="B2">
        <f>COUNTIFS(clean!D2:D13,summery!A2,clean!I2:I13,1)</f>
        <v>3</v>
      </c>
      <c r="F2" s="1" t="s">
        <v>33</v>
      </c>
      <c r="G2" s="1" t="s">
        <v>32</v>
      </c>
    </row>
    <row r="3" spans="1:10" x14ac:dyDescent="0.3">
      <c r="A3" t="s">
        <v>20</v>
      </c>
      <c r="B3">
        <f>COUNTIFS(clean!D3:D14,summery!A3,clean!I3:I14,1)</f>
        <v>3</v>
      </c>
      <c r="F3" s="1" t="s">
        <v>30</v>
      </c>
      <c r="G3" t="s">
        <v>18</v>
      </c>
      <c r="H3" t="s">
        <v>22</v>
      </c>
      <c r="I3" t="s">
        <v>23</v>
      </c>
      <c r="J3" t="s">
        <v>31</v>
      </c>
    </row>
    <row r="4" spans="1:10" x14ac:dyDescent="0.3">
      <c r="A4" t="s">
        <v>21</v>
      </c>
      <c r="B4">
        <f>COUNTIFS(clean!D4:D15,summery!A4,clean!I4:I15,1)</f>
        <v>2</v>
      </c>
      <c r="F4" s="2" t="s">
        <v>5</v>
      </c>
      <c r="G4" s="3">
        <v>58.5</v>
      </c>
      <c r="H4" s="3">
        <v>67.5</v>
      </c>
      <c r="I4" s="3">
        <v>75</v>
      </c>
      <c r="J4" s="3">
        <v>67</v>
      </c>
    </row>
    <row r="5" spans="1:10" x14ac:dyDescent="0.3">
      <c r="F5" s="2" t="s">
        <v>10</v>
      </c>
      <c r="G5" s="3">
        <v>51.5</v>
      </c>
      <c r="H5" s="3">
        <v>58</v>
      </c>
      <c r="I5" s="3">
        <v>58.5</v>
      </c>
      <c r="J5" s="3">
        <v>56</v>
      </c>
    </row>
    <row r="6" spans="1:10" x14ac:dyDescent="0.3">
      <c r="F6" s="2" t="s">
        <v>31</v>
      </c>
      <c r="G6" s="3">
        <v>55</v>
      </c>
      <c r="H6" s="3">
        <v>62.75</v>
      </c>
      <c r="I6" s="3">
        <v>66.75</v>
      </c>
      <c r="J6" s="3">
        <v>61.5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</vt:lpstr>
      <vt:lpstr>raw_data</vt:lpstr>
      <vt:lpstr>clean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rukmosa hasaji</dc:creator>
  <cp:lastModifiedBy>daksh rukmosa hasaji</cp:lastModifiedBy>
  <dcterms:created xsi:type="dcterms:W3CDTF">2026-09-26T11:24:31Z</dcterms:created>
  <dcterms:modified xsi:type="dcterms:W3CDTF">2026-09-26T11:38:08Z</dcterms:modified>
</cp:coreProperties>
</file>